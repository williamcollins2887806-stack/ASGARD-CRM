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ikita-ASGARD\Downloads\"/>
    </mc:Choice>
  </mc:AlternateContent>
  <xr:revisionPtr revIDLastSave="0" documentId="13_ncr:1_{953ABFF9-878D-4ACD-BEB7-5B37AEC28BE7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Смета (себестоимость)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9" i="1" l="1"/>
  <c r="E74" i="1"/>
  <c r="E73" i="1"/>
  <c r="F70" i="1"/>
  <c r="E69" i="1"/>
  <c r="C69" i="1"/>
  <c r="F69" i="1" s="1"/>
  <c r="E68" i="1"/>
  <c r="C68" i="1"/>
  <c r="F68" i="1" s="1"/>
  <c r="E67" i="1"/>
  <c r="F67" i="1" s="1"/>
  <c r="F71" i="1" s="1"/>
  <c r="C67" i="1"/>
  <c r="E64" i="1"/>
  <c r="F64" i="1" s="1"/>
  <c r="F65" i="1" s="1"/>
  <c r="C64" i="1"/>
  <c r="F63" i="1"/>
  <c r="F62" i="1"/>
  <c r="F59" i="1"/>
  <c r="E58" i="1"/>
  <c r="C58" i="1"/>
  <c r="F58" i="1" s="1"/>
  <c r="E57" i="1"/>
  <c r="C57" i="1"/>
  <c r="F57" i="1" s="1"/>
  <c r="F60" i="1" s="1"/>
  <c r="E54" i="1"/>
  <c r="C54" i="1"/>
  <c r="F54" i="1" s="1"/>
  <c r="F53" i="1"/>
  <c r="F52" i="1"/>
  <c r="F51" i="1"/>
  <c r="E50" i="1"/>
  <c r="F50" i="1" s="1"/>
  <c r="F55" i="1" s="1"/>
  <c r="C50" i="1"/>
  <c r="E47" i="1"/>
  <c r="E45" i="1"/>
  <c r="C45" i="1"/>
  <c r="F45" i="1" s="1"/>
  <c r="F44" i="1"/>
  <c r="E44" i="1"/>
  <c r="C44" i="1"/>
  <c r="E43" i="1"/>
  <c r="C43" i="1"/>
  <c r="F43" i="1" s="1"/>
  <c r="E42" i="1"/>
  <c r="C42" i="1"/>
  <c r="F42" i="1" s="1"/>
  <c r="E41" i="1"/>
  <c r="C41" i="1"/>
  <c r="F41" i="1" s="1"/>
  <c r="F46" i="1" s="1"/>
  <c r="F47" i="1" l="1"/>
  <c r="F48" i="1" s="1"/>
  <c r="F72" i="1" s="1"/>
  <c r="F74" i="1" l="1"/>
  <c r="F73" i="1"/>
  <c r="F75" i="1" s="1"/>
  <c r="F89" i="1"/>
  <c r="F88" i="1" l="1"/>
  <c r="F87" i="1"/>
  <c r="F86" i="1"/>
  <c r="F78" i="1"/>
  <c r="F80" i="1" s="1"/>
  <c r="F83" i="1" l="1"/>
  <c r="F81" i="1"/>
  <c r="F82" i="1" s="1"/>
</calcChain>
</file>

<file path=xl/sharedStrings.xml><?xml version="1.0" encoding="utf-8"?>
<sst xmlns="http://schemas.openxmlformats.org/spreadsheetml/2006/main" count="196" uniqueCount="173">
  <si>
    <t>СМЕТА — расчёт себестоимости (круглосуточный режим)</t>
  </si>
  <si>
    <t>Замена теплоносителя (пропиленгликоль) в контурах охлаждения линии AMS 813</t>
  </si>
  <si>
    <t>Заказчик:</t>
  </si>
  <si>
    <t>ООО «Барилла Рус», 141504, МО, г. Солнечногорск, ул. Бутырский тупик, д. 1</t>
  </si>
  <si>
    <t>Объект:</t>
  </si>
  <si>
    <t>Линия AMS 813 — 2 контура охлаждения; тип CHEM; режим 24/7 (2 смены день/ночь)</t>
  </si>
  <si>
    <t>Исполнитель:</t>
  </si>
  <si>
    <t>ООО «АСГАРД-Сервис»</t>
  </si>
  <si>
    <t>Срок работ:</t>
  </si>
  <si>
    <t>25.06.2026 – 22.07.2026 (окно 27 к.д.)</t>
  </si>
  <si>
    <t>Оплата / гарантия:</t>
  </si>
  <si>
    <t>отсрочка платежа 60 к.д.;  гарантия 12 мес.;  дата сметы 18.06.2026</t>
  </si>
  <si>
    <t>1. ИСХОДНЫЕ ПАРАМЕТРЫ (синие — редактируемые; жёлтые — ключевые)</t>
  </si>
  <si>
    <t>Параметр</t>
  </si>
  <si>
    <t>Значение</t>
  </si>
  <si>
    <t>Ед.</t>
  </si>
  <si>
    <t>Примечание / источник</t>
  </si>
  <si>
    <t>Объём теплоносителя (слив + заливка)</t>
  </si>
  <si>
    <t>кг</t>
  </si>
  <si>
    <t>до 20 т на 2 контура (ТЗ)</t>
  </si>
  <si>
    <t>Цена Thermagent ECO-35 (закупка, без НДС)</t>
  </si>
  <si>
    <t>₽/кг</t>
  </si>
  <si>
    <t>опт 20 т — оценка; уточнить у дилера</t>
  </si>
  <si>
    <t>Объём воды на промывку</t>
  </si>
  <si>
    <t>л</t>
  </si>
  <si>
    <t>≈ объём систем</t>
  </si>
  <si>
    <t>Дозировка Афлакс Б-3</t>
  </si>
  <si>
    <t>по техкарте реагента</t>
  </si>
  <si>
    <t>Цена Афлакс Б-3 (без НДС)</t>
  </si>
  <si>
    <t>≈190 ₽/кг с НДС (аналоги)</t>
  </si>
  <si>
    <t>Ставка утилизации (без НДС)</t>
  </si>
  <si>
    <t>рынок 6–10 ₽/кг; ПГ — 4 кл.</t>
  </si>
  <si>
    <t>Смен в сутки (день/ночь)</t>
  </si>
  <si>
    <t>смен</t>
  </si>
  <si>
    <t>24/7: промывка = непрерывная циркуляция</t>
  </si>
  <si>
    <t>Рабочих в смене</t>
  </si>
  <si>
    <t>чел</t>
  </si>
  <si>
    <t>слесари-универсалы</t>
  </si>
  <si>
    <t>Мастеров (1 на смену)</t>
  </si>
  <si>
    <t>в каждую смену свой мастер</t>
  </si>
  <si>
    <t>Рабочие смены (work_days, кругл.)</t>
  </si>
  <si>
    <t>сут</t>
  </si>
  <si>
    <t>24/7 сжимает срок vs 8 при 1 смене</t>
  </si>
  <si>
    <t>Дни дороги (road_days)</t>
  </si>
  <si>
    <t>дн</t>
  </si>
  <si>
    <t>локальный объект (МО)</t>
  </si>
  <si>
    <t>Дни мобилизации/демобилизации</t>
  </si>
  <si>
    <t>норматив Мимир</t>
  </si>
  <si>
    <t>Ставка рабочего</t>
  </si>
  <si>
    <t>₽/смена</t>
  </si>
  <si>
    <t>ground — оценка; тариф уточнить</t>
  </si>
  <si>
    <t>Ставка мастера</t>
  </si>
  <si>
    <t>ground — оценка</t>
  </si>
  <si>
    <t>Ставка ИТР/РП (фиксированная)</t>
  </si>
  <si>
    <t>норматив Асгарда</t>
  </si>
  <si>
    <t>Ставка дня дороги</t>
  </si>
  <si>
    <t>₽/чел</t>
  </si>
  <si>
    <t>6 баллов × 500 ₽</t>
  </si>
  <si>
    <t>Пайковые</t>
  </si>
  <si>
    <t>₽/чел·дн</t>
  </si>
  <si>
    <t>норматив (суточных нет)</t>
  </si>
  <si>
    <t>Проживание</t>
  </si>
  <si>
    <t>₽/чел·ночь</t>
  </si>
  <si>
    <t>аренда квартиры; 0 если местные</t>
  </si>
  <si>
    <t>СИЗ + спецодежда</t>
  </si>
  <si>
    <t>норматив-минимум Асгарда</t>
  </si>
  <si>
    <t>Налог на ФОТ</t>
  </si>
  <si>
    <t>параметр; касса ~55%; ночная надбавка не учтена</t>
  </si>
  <si>
    <t>Накладные расходы</t>
  </si>
  <si>
    <t>от прямых затрат</t>
  </si>
  <si>
    <t>Непредвиденные (буфер)</t>
  </si>
  <si>
    <t>норматив 12–15%</t>
  </si>
  <si>
    <t>Наценка стандартная (markup)</t>
  </si>
  <si>
    <t>новый клиент ×2.0–2.3 (Мимир)</t>
  </si>
  <si>
    <t>Наценка на материал (для раздельной)</t>
  </si>
  <si>
    <t>для альтернативного сценария</t>
  </si>
  <si>
    <t>НДС</t>
  </si>
  <si>
    <t>ФЗ-425 с 01.01.2026</t>
  </si>
  <si>
    <t>2. КАЛЬКУЛЯЦИЯ СЕБЕСТОИМОСТИ (без НДС)</t>
  </si>
  <si>
    <t>№</t>
  </si>
  <si>
    <t>Статья затрат</t>
  </si>
  <si>
    <t>Кол-во</t>
  </si>
  <si>
    <t>Цена/ставка, ₽</t>
  </si>
  <si>
    <t>Сумма, ₽</t>
  </si>
  <si>
    <t>A</t>
  </si>
  <si>
    <t>Персонал (режим 24/7, 2 смены)</t>
  </si>
  <si>
    <t>A1</t>
  </si>
  <si>
    <t>ИТР / руководитель работ (1 чел, весь период)</t>
  </si>
  <si>
    <t>смена</t>
  </si>
  <si>
    <t>A2</t>
  </si>
  <si>
    <t>Мастера (по 1 на смену)</t>
  </si>
  <si>
    <t>чел-см</t>
  </si>
  <si>
    <t>A3</t>
  </si>
  <si>
    <t>Рабочие-исполнители (4/смену × 2 смены)</t>
  </si>
  <si>
    <t>A4</t>
  </si>
  <si>
    <t>Подготовка на складе (комплектация, 2 дня)</t>
  </si>
  <si>
    <t>A5</t>
  </si>
  <si>
    <t>Дни дороги</t>
  </si>
  <si>
    <t>чел-дн</t>
  </si>
  <si>
    <t>ФОТ, итого</t>
  </si>
  <si>
    <t>Налог / взносы на ФОТ</t>
  </si>
  <si>
    <t>Персонал, итого</t>
  </si>
  <si>
    <t>B</t>
  </si>
  <si>
    <t>Текущие расходы</t>
  </si>
  <si>
    <t>B1</t>
  </si>
  <si>
    <t>СИЗ + спецодежда (на всю бригаду)</t>
  </si>
  <si>
    <t>B2</t>
  </si>
  <si>
    <t>Расходники (насадки, прокладки, шланги, ленты)</t>
  </si>
  <si>
    <t>компл.</t>
  </si>
  <si>
    <t>B3</t>
  </si>
  <si>
    <t>Оборудование перекачки + обвязка + КИП (использование)</t>
  </si>
  <si>
    <t>B4</t>
  </si>
  <si>
    <t>Освещение (прожекторы, ночные смены)</t>
  </si>
  <si>
    <t>B5</t>
  </si>
  <si>
    <t>Связь (рации — мастера + ИТР)</t>
  </si>
  <si>
    <t>шт</t>
  </si>
  <si>
    <t>Текущие расходы, итого</t>
  </si>
  <si>
    <t>C</t>
  </si>
  <si>
    <t>Командировочные</t>
  </si>
  <si>
    <t>C1</t>
  </si>
  <si>
    <t>C2</t>
  </si>
  <si>
    <t>Проживание (аренда квартиры)</t>
  </si>
  <si>
    <t>чел-ноч</t>
  </si>
  <si>
    <t>C3</t>
  </si>
  <si>
    <t>Билеты (локальный объект, переездов нет)</t>
  </si>
  <si>
    <t>—</t>
  </si>
  <si>
    <t>Командировочные, итого</t>
  </si>
  <si>
    <t>D</t>
  </si>
  <si>
    <t>Логистика / транспорт</t>
  </si>
  <si>
    <t>D1</t>
  </si>
  <si>
    <t>Доставка теплоносителя до объекта (Солнечногорск)</t>
  </si>
  <si>
    <t>рейс</t>
  </si>
  <si>
    <t>D2</t>
  </si>
  <si>
    <t>Доставка оборудования (Газель, МО)</t>
  </si>
  <si>
    <t>D3</t>
  </si>
  <si>
    <t>Такси / служебный транспорт по объекту</t>
  </si>
  <si>
    <t>Транспорт, итого</t>
  </si>
  <si>
    <t>E</t>
  </si>
  <si>
    <t>Материалы и реагенты</t>
  </si>
  <si>
    <t>E1</t>
  </si>
  <si>
    <t>Теплоноситель Thermagent ECO-35 (−35 °C, карбоксилатный)</t>
  </si>
  <si>
    <t>E2</t>
  </si>
  <si>
    <t>Реагент Афлакс Б-3 (щелочная промывка)</t>
  </si>
  <si>
    <t>E3</t>
  </si>
  <si>
    <t>Вывоз и утилизация отработки (4 кл., с документами)</t>
  </si>
  <si>
    <t>E4</t>
  </si>
  <si>
    <t>Лаб. анализ (паспорт отхода + контроль концентрации/pH)</t>
  </si>
  <si>
    <t>Материалы и реагенты, итого</t>
  </si>
  <si>
    <t>ПРЯМЫЕ ЗАТРАТЫ, ИТОГО</t>
  </si>
  <si>
    <t>6</t>
  </si>
  <si>
    <t>7</t>
  </si>
  <si>
    <t>СЕБЕСТОИМОСТЬ (без НДС)</t>
  </si>
  <si>
    <t>3. ЦЕНА ДЛЯ ЗАКАЗЧИКА — стандартная наценка (Мимир)</t>
  </si>
  <si>
    <t>Себестоимость (без НДС)</t>
  </si>
  <si>
    <t>Наценка (markup)</t>
  </si>
  <si>
    <t>Цена без НДС</t>
  </si>
  <si>
    <t>НДС 22%</t>
  </si>
  <si>
    <t>ЦЕНА ЗАКАЗЧИКУ (с НДС)</t>
  </si>
  <si>
    <t>Прибыль (без НДС)</t>
  </si>
  <si>
    <t>4. СРАВНЕНИЕ СЦЕНАРИЕВ ЦЕНЫ (с НДС)</t>
  </si>
  <si>
    <t>Единая наценка ×2.0 (минимум для нового клиента)</t>
  </si>
  <si>
    <t>Единая наценка ×2.2 (стандарт Мимир)</t>
  </si>
  <si>
    <t>Единая наценка ×2.3</t>
  </si>
  <si>
    <t>Раздельная: материал ×1.25 / работы ×2.2  (РЕКОМЕНДУЕТСЯ)</t>
  </si>
  <si>
    <t>5. ПРИМЕЧАНИЯ И ИСТОЧНИКИ</t>
  </si>
  <si>
    <t>•  Режим 24/7: промывка = непрерывная циркуляция, 2 смены по 12 ч (день/ночь). В каждой смене свой мастер. Бригада 11 чел: 1 ИТР + 2 мастера + 8 слесарей-универсалов (4/смену). Без ОЗП (циркуляция насосами заказчика) → наблюдающие не нужны.</t>
  </si>
  <si>
    <t>•  work_days сжат до 5 кал. суток за счёт круглосуточной работы (против 8 при одной смене); заказчик платит за объём, а не за время.</t>
  </si>
  <si>
    <t>•  Добавлены освещение (прожекторы) и связь (рации) — нормативы Мимир для ночных смен.</t>
  </si>
  <si>
    <t>•  Ночная надбавка к ФОТ (ТК РФ, мин. +20 % за ночные часы) в смете НЕ учтена; при необходимости заложить ~+30–50 тыс ₽.</t>
  </si>
  <si>
    <t>•  Ставки ИТР (10 000), дни дороги (3 000), пайковые (1 000), проживание (1 500), СИЗ+спецодежда (25 000/чел), непредвиденные 12 % — нормативы Асгарда (промпт «Мимир»). Ставки рабочего/мастера — оценка ground; уточнить по тарифной сетке.</t>
  </si>
  <si>
    <t>•  Наценка: стандарт Мимир ×2.2 даёт ≈10,4 млн ₽, но множитель ложится и на ~2,1 млн ₽ материала/утилизации (pass-through) — для пищевого заказчика завышено. Рекомендуется раздельная (материал ×1.25, работы ×2.2) → ≈7,4 млн ₽. Решение — за руководством.</t>
  </si>
  <si>
    <t>•  Объём «до 20 т» — максимум; фактический по месту, линейно влияет на стоимость. Эквивалент −35 без бренда экономит ~0,5–0,7 млн ₽.</t>
  </si>
  <si>
    <t>•  Все суммы без НДС, если не указано иное. НДС 22 % (ФЗ-425 с 01.01.2026).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</si>
</sst>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&quot; ₽&quot;"/>
    <numFmt numFmtId="165" formatCode="0.0%"/>
    <numFmt numFmtId="166" formatCode="#,##0.0&quot; ₽&quot;"/>
    <numFmt numFmtId="167" formatCode="0.00\×"/>
  </numFmts>
  <fonts count="9" x14ac:knownFonts="1">
    <font>
      <sz val="11"/>
      <color theme="1"/>
      <name val="Calibri"/>
      <family val="2"/>
      <charset val="1"/>
    </font>
    <font>
      <b/>
      <sz val="14"/>
      <color rgb="FF000000"/>
      <name val="Arial"/>
      <charset val="1"/>
    </font>
    <font>
      <b/>
      <sz val="11"/>
      <color rgb="FF000000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sz val="10"/>
      <color rgb="FF0000FF"/>
      <name val="Arial"/>
      <charset val="1"/>
    </font>
    <font>
      <sz val="9"/>
      <color rgb="FF404040"/>
      <name val="Arial"/>
      <charset val="1"/>
    </font>
    <font>
      <b/>
      <sz val="11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6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8" fillId="5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right"/>
    </xf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3" fontId="6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7" fontId="6" fillId="4" borderId="1" xfId="0" applyNumberFormat="1" applyFont="1" applyFill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/>
    </xf>
    <xf numFmtId="0" fontId="4" fillId="3" borderId="1" xfId="0" applyFont="1" applyFill="1" applyBorder="1"/>
    <xf numFmtId="164" fontId="3" fillId="3" borderId="1" xfId="0" applyNumberFormat="1" applyFont="1" applyFill="1" applyBorder="1" applyAlignment="1">
      <alignment horizontal="right" vertical="center"/>
    </xf>
    <xf numFmtId="0" fontId="4" fillId="0" borderId="1" xfId="0" applyFont="1" applyBorder="1"/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4" fillId="5" borderId="1" xfId="0" applyFont="1" applyFill="1" applyBorder="1"/>
    <xf numFmtId="164" fontId="8" fillId="5" borderId="1" xfId="0" applyNumberFormat="1" applyFont="1" applyFill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4" fillId="6" borderId="1" xfId="0" applyFont="1" applyFill="1" applyBorder="1"/>
    <xf numFmtId="164" fontId="8" fillId="6" borderId="1" xfId="0" applyNumberFormat="1" applyFont="1" applyFill="1" applyBorder="1" applyAlignment="1">
      <alignment horizontal="right" vertical="center"/>
    </xf>
    <xf numFmtId="164" fontId="3" fillId="5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showGridLines="0" tabSelected="1" topLeftCell="A80" zoomScaleNormal="100" workbookViewId="0">
      <selection activeCell="F43" sqref="F43"/>
    </sheetView>
  </sheetViews>
  <sheetFormatPr defaultColWidth="8.6640625" defaultRowHeight="14.4" x14ac:dyDescent="0.3"/>
  <cols>
    <col min="1" max="1" width="5" customWidth="1"/>
    <col min="2" max="2" width="50" customWidth="1"/>
    <col min="3" max="3" width="13" customWidth="1"/>
    <col min="4" max="4" width="10" customWidth="1"/>
    <col min="5" max="5" width="14" customWidth="1"/>
    <col min="6" max="6" width="17" customWidth="1"/>
  </cols>
  <sheetData>
    <row r="1" spans="1:6" ht="19.5" customHeight="1" x14ac:dyDescent="0.3">
      <c r="A1" s="14" t="s">
        <v>0</v>
      </c>
      <c r="B1" s="14"/>
      <c r="C1" s="14"/>
      <c r="D1" s="14"/>
      <c r="E1" s="14"/>
      <c r="F1" s="14"/>
    </row>
    <row r="2" spans="1:6" x14ac:dyDescent="0.3">
      <c r="A2" s="13" t="s">
        <v>1</v>
      </c>
      <c r="B2" s="13"/>
      <c r="C2" s="13"/>
      <c r="D2" s="13"/>
      <c r="E2" s="13"/>
      <c r="F2" s="13"/>
    </row>
    <row r="4" spans="1:6" ht="23.85" customHeight="1" x14ac:dyDescent="0.3">
      <c r="A4" s="12" t="s">
        <v>2</v>
      </c>
      <c r="B4" s="12"/>
      <c r="C4" s="11" t="s">
        <v>3</v>
      </c>
      <c r="D4" s="11"/>
      <c r="E4" s="11"/>
      <c r="F4" s="11"/>
    </row>
    <row r="5" spans="1:6" ht="23.85" customHeight="1" x14ac:dyDescent="0.3">
      <c r="A5" s="12" t="s">
        <v>4</v>
      </c>
      <c r="B5" s="12"/>
      <c r="C5" s="11" t="s">
        <v>5</v>
      </c>
      <c r="D5" s="11"/>
      <c r="E5" s="11"/>
      <c r="F5" s="11"/>
    </row>
    <row r="6" spans="1:6" ht="15" customHeight="1" x14ac:dyDescent="0.3">
      <c r="A6" s="12" t="s">
        <v>6</v>
      </c>
      <c r="B6" s="12"/>
      <c r="C6" s="11" t="s">
        <v>7</v>
      </c>
      <c r="D6" s="11"/>
      <c r="E6" s="11"/>
      <c r="F6" s="11"/>
    </row>
    <row r="7" spans="1:6" ht="15" customHeight="1" x14ac:dyDescent="0.3">
      <c r="A7" s="12" t="s">
        <v>8</v>
      </c>
      <c r="B7" s="12"/>
      <c r="C7" s="11" t="s">
        <v>9</v>
      </c>
      <c r="D7" s="11"/>
      <c r="E7" s="11"/>
      <c r="F7" s="11"/>
    </row>
    <row r="8" spans="1:6" ht="23.85" customHeight="1" x14ac:dyDescent="0.3">
      <c r="A8" s="12" t="s">
        <v>10</v>
      </c>
      <c r="B8" s="12"/>
      <c r="C8" s="11" t="s">
        <v>11</v>
      </c>
      <c r="D8" s="11"/>
      <c r="E8" s="11"/>
      <c r="F8" s="11"/>
    </row>
    <row r="10" spans="1:6" x14ac:dyDescent="0.3">
      <c r="A10" s="10" t="s">
        <v>12</v>
      </c>
      <c r="B10" s="10"/>
      <c r="C10" s="10"/>
      <c r="D10" s="10"/>
      <c r="E10" s="10"/>
      <c r="F10" s="10"/>
    </row>
    <row r="11" spans="1:6" x14ac:dyDescent="0.3">
      <c r="A11" s="9" t="s">
        <v>13</v>
      </c>
      <c r="B11" s="9"/>
      <c r="C11" s="15" t="s">
        <v>14</v>
      </c>
      <c r="D11" s="15" t="s">
        <v>15</v>
      </c>
      <c r="E11" s="9" t="s">
        <v>16</v>
      </c>
      <c r="F11" s="9"/>
    </row>
    <row r="12" spans="1:6" ht="15" customHeight="1" x14ac:dyDescent="0.3">
      <c r="A12" s="8" t="s">
        <v>17</v>
      </c>
      <c r="B12" s="8"/>
      <c r="C12" s="17">
        <v>20000</v>
      </c>
      <c r="D12" s="18" t="s">
        <v>18</v>
      </c>
      <c r="E12" s="7" t="s">
        <v>19</v>
      </c>
      <c r="F12" s="7"/>
    </row>
    <row r="13" spans="1:6" ht="15" customHeight="1" x14ac:dyDescent="0.3">
      <c r="A13" s="8" t="s">
        <v>20</v>
      </c>
      <c r="B13" s="8"/>
      <c r="C13" s="19">
        <v>95</v>
      </c>
      <c r="D13" s="18" t="s">
        <v>21</v>
      </c>
      <c r="E13" s="7" t="s">
        <v>22</v>
      </c>
      <c r="F13" s="7"/>
    </row>
    <row r="14" spans="1:6" ht="15" customHeight="1" x14ac:dyDescent="0.3">
      <c r="A14" s="8" t="s">
        <v>23</v>
      </c>
      <c r="B14" s="8"/>
      <c r="C14" s="20">
        <v>20000</v>
      </c>
      <c r="D14" s="18" t="s">
        <v>24</v>
      </c>
      <c r="E14" s="7" t="s">
        <v>25</v>
      </c>
      <c r="F14" s="7"/>
    </row>
    <row r="15" spans="1:6" ht="15" customHeight="1" x14ac:dyDescent="0.3">
      <c r="A15" s="8" t="s">
        <v>26</v>
      </c>
      <c r="B15" s="8"/>
      <c r="C15" s="21">
        <v>0.02</v>
      </c>
      <c r="D15" s="18"/>
      <c r="E15" s="7" t="s">
        <v>27</v>
      </c>
      <c r="F15" s="7"/>
    </row>
    <row r="16" spans="1:6" ht="15" customHeight="1" x14ac:dyDescent="0.3">
      <c r="A16" s="8" t="s">
        <v>28</v>
      </c>
      <c r="B16" s="8"/>
      <c r="C16" s="22">
        <v>156</v>
      </c>
      <c r="D16" s="18" t="s">
        <v>21</v>
      </c>
      <c r="E16" s="7" t="s">
        <v>29</v>
      </c>
      <c r="F16" s="7"/>
    </row>
    <row r="17" spans="1:6" ht="15" customHeight="1" x14ac:dyDescent="0.3">
      <c r="A17" s="8" t="s">
        <v>30</v>
      </c>
      <c r="B17" s="8"/>
      <c r="C17" s="23">
        <v>6.5</v>
      </c>
      <c r="D17" s="18" t="s">
        <v>21</v>
      </c>
      <c r="E17" s="7" t="s">
        <v>31</v>
      </c>
      <c r="F17" s="7"/>
    </row>
    <row r="18" spans="1:6" ht="22.35" customHeight="1" x14ac:dyDescent="0.3">
      <c r="A18" s="8" t="s">
        <v>32</v>
      </c>
      <c r="B18" s="8"/>
      <c r="C18" s="17">
        <v>2</v>
      </c>
      <c r="D18" s="18" t="s">
        <v>33</v>
      </c>
      <c r="E18" s="7" t="s">
        <v>34</v>
      </c>
      <c r="F18" s="7"/>
    </row>
    <row r="19" spans="1:6" ht="15" customHeight="1" x14ac:dyDescent="0.3">
      <c r="A19" s="8" t="s">
        <v>35</v>
      </c>
      <c r="B19" s="8"/>
      <c r="C19" s="20">
        <v>4</v>
      </c>
      <c r="D19" s="18" t="s">
        <v>36</v>
      </c>
      <c r="E19" s="7" t="s">
        <v>37</v>
      </c>
      <c r="F19" s="7"/>
    </row>
    <row r="20" spans="1:6" ht="15" customHeight="1" x14ac:dyDescent="0.3">
      <c r="A20" s="8" t="s">
        <v>38</v>
      </c>
      <c r="B20" s="8"/>
      <c r="C20" s="17">
        <v>2</v>
      </c>
      <c r="D20" s="18" t="s">
        <v>36</v>
      </c>
      <c r="E20" s="7" t="s">
        <v>39</v>
      </c>
      <c r="F20" s="7"/>
    </row>
    <row r="21" spans="1:6" ht="15" customHeight="1" x14ac:dyDescent="0.3">
      <c r="A21" s="8" t="s">
        <v>40</v>
      </c>
      <c r="B21" s="8"/>
      <c r="C21" s="17">
        <v>5</v>
      </c>
      <c r="D21" s="18" t="s">
        <v>41</v>
      </c>
      <c r="E21" s="7" t="s">
        <v>42</v>
      </c>
      <c r="F21" s="7"/>
    </row>
    <row r="22" spans="1:6" ht="15" customHeight="1" x14ac:dyDescent="0.3">
      <c r="A22" s="8" t="s">
        <v>43</v>
      </c>
      <c r="B22" s="8"/>
      <c r="C22" s="20">
        <v>0</v>
      </c>
      <c r="D22" s="18" t="s">
        <v>44</v>
      </c>
      <c r="E22" s="7" t="s">
        <v>45</v>
      </c>
      <c r="F22" s="7"/>
    </row>
    <row r="23" spans="1:6" ht="15" customHeight="1" x14ac:dyDescent="0.3">
      <c r="A23" s="8" t="s">
        <v>46</v>
      </c>
      <c r="B23" s="8"/>
      <c r="C23" s="20">
        <v>2</v>
      </c>
      <c r="D23" s="18" t="s">
        <v>44</v>
      </c>
      <c r="E23" s="7" t="s">
        <v>47</v>
      </c>
      <c r="F23" s="7"/>
    </row>
    <row r="24" spans="1:6" ht="15" customHeight="1" x14ac:dyDescent="0.3">
      <c r="A24" s="8" t="s">
        <v>48</v>
      </c>
      <c r="B24" s="8"/>
      <c r="C24" s="22">
        <v>4500</v>
      </c>
      <c r="D24" s="18" t="s">
        <v>49</v>
      </c>
      <c r="E24" s="7" t="s">
        <v>50</v>
      </c>
      <c r="F24" s="7"/>
    </row>
    <row r="25" spans="1:6" ht="15" customHeight="1" x14ac:dyDescent="0.3">
      <c r="A25" s="8" t="s">
        <v>51</v>
      </c>
      <c r="B25" s="8"/>
      <c r="C25" s="22">
        <v>6000</v>
      </c>
      <c r="D25" s="18" t="s">
        <v>49</v>
      </c>
      <c r="E25" s="7" t="s">
        <v>52</v>
      </c>
      <c r="F25" s="7"/>
    </row>
    <row r="26" spans="1:6" ht="15" customHeight="1" x14ac:dyDescent="0.3">
      <c r="A26" s="8" t="s">
        <v>53</v>
      </c>
      <c r="B26" s="8"/>
      <c r="C26" s="22">
        <v>10000</v>
      </c>
      <c r="D26" s="18" t="s">
        <v>49</v>
      </c>
      <c r="E26" s="7" t="s">
        <v>54</v>
      </c>
      <c r="F26" s="7"/>
    </row>
    <row r="27" spans="1:6" ht="15" customHeight="1" x14ac:dyDescent="0.3">
      <c r="A27" s="8" t="s">
        <v>55</v>
      </c>
      <c r="B27" s="8"/>
      <c r="C27" s="22">
        <v>3000</v>
      </c>
      <c r="D27" s="18" t="s">
        <v>56</v>
      </c>
      <c r="E27" s="7" t="s">
        <v>57</v>
      </c>
      <c r="F27" s="7"/>
    </row>
    <row r="28" spans="1:6" ht="15" customHeight="1" x14ac:dyDescent="0.3">
      <c r="A28" s="8" t="s">
        <v>58</v>
      </c>
      <c r="B28" s="8"/>
      <c r="C28" s="22">
        <v>1000</v>
      </c>
      <c r="D28" s="18" t="s">
        <v>59</v>
      </c>
      <c r="E28" s="7" t="s">
        <v>60</v>
      </c>
      <c r="F28" s="7"/>
    </row>
    <row r="29" spans="1:6" ht="15" customHeight="1" x14ac:dyDescent="0.3">
      <c r="A29" s="8" t="s">
        <v>61</v>
      </c>
      <c r="B29" s="8"/>
      <c r="C29" s="22">
        <v>1500</v>
      </c>
      <c r="D29" s="18" t="s">
        <v>62</v>
      </c>
      <c r="E29" s="7" t="s">
        <v>63</v>
      </c>
      <c r="F29" s="7"/>
    </row>
    <row r="30" spans="1:6" ht="15" customHeight="1" x14ac:dyDescent="0.3">
      <c r="A30" s="8" t="s">
        <v>64</v>
      </c>
      <c r="B30" s="8"/>
      <c r="C30" s="22">
        <v>25000</v>
      </c>
      <c r="D30" s="18" t="s">
        <v>56</v>
      </c>
      <c r="E30" s="7" t="s">
        <v>65</v>
      </c>
      <c r="F30" s="7"/>
    </row>
    <row r="31" spans="1:6" ht="22.35" customHeight="1" x14ac:dyDescent="0.3">
      <c r="A31" s="8" t="s">
        <v>66</v>
      </c>
      <c r="B31" s="8"/>
      <c r="C31" s="24">
        <v>0.3</v>
      </c>
      <c r="D31" s="18"/>
      <c r="E31" s="7" t="s">
        <v>67</v>
      </c>
      <c r="F31" s="7"/>
    </row>
    <row r="32" spans="1:6" ht="15" customHeight="1" x14ac:dyDescent="0.3">
      <c r="A32" s="8" t="s">
        <v>68</v>
      </c>
      <c r="B32" s="8"/>
      <c r="C32" s="24">
        <v>0.1</v>
      </c>
      <c r="D32" s="18"/>
      <c r="E32" s="7" t="s">
        <v>69</v>
      </c>
      <c r="F32" s="7"/>
    </row>
    <row r="33" spans="1:6" ht="15" customHeight="1" x14ac:dyDescent="0.3">
      <c r="A33" s="8" t="s">
        <v>70</v>
      </c>
      <c r="B33" s="8"/>
      <c r="C33" s="21">
        <v>0.12</v>
      </c>
      <c r="D33" s="18"/>
      <c r="E33" s="7" t="s">
        <v>71</v>
      </c>
      <c r="F33" s="7"/>
    </row>
    <row r="34" spans="1:6" ht="15" customHeight="1" x14ac:dyDescent="0.3">
      <c r="A34" s="8" t="s">
        <v>72</v>
      </c>
      <c r="B34" s="8"/>
      <c r="C34" s="25">
        <v>2.2000000000000002</v>
      </c>
      <c r="D34" s="18"/>
      <c r="E34" s="7" t="s">
        <v>73</v>
      </c>
      <c r="F34" s="7"/>
    </row>
    <row r="35" spans="1:6" ht="15" customHeight="1" x14ac:dyDescent="0.3">
      <c r="A35" s="8" t="s">
        <v>74</v>
      </c>
      <c r="B35" s="8"/>
      <c r="C35" s="26">
        <v>1.25</v>
      </c>
      <c r="D35" s="18"/>
      <c r="E35" s="7" t="s">
        <v>75</v>
      </c>
      <c r="F35" s="7"/>
    </row>
    <row r="36" spans="1:6" ht="15" customHeight="1" x14ac:dyDescent="0.3">
      <c r="A36" s="8" t="s">
        <v>76</v>
      </c>
      <c r="B36" s="8"/>
      <c r="C36" s="24">
        <v>0.22</v>
      </c>
      <c r="D36" s="18"/>
      <c r="E36" s="7" t="s">
        <v>77</v>
      </c>
      <c r="F36" s="7"/>
    </row>
    <row r="38" spans="1:6" x14ac:dyDescent="0.3">
      <c r="A38" s="10" t="s">
        <v>78</v>
      </c>
      <c r="B38" s="10"/>
      <c r="C38" s="10"/>
      <c r="D38" s="10"/>
      <c r="E38" s="10"/>
      <c r="F38" s="10"/>
    </row>
    <row r="39" spans="1:6" x14ac:dyDescent="0.3">
      <c r="A39" s="15" t="s">
        <v>79</v>
      </c>
      <c r="B39" s="15" t="s">
        <v>80</v>
      </c>
      <c r="C39" s="15" t="s">
        <v>81</v>
      </c>
      <c r="D39" s="15" t="s">
        <v>15</v>
      </c>
      <c r="E39" s="15" t="s">
        <v>82</v>
      </c>
      <c r="F39" s="15" t="s">
        <v>83</v>
      </c>
    </row>
    <row r="40" spans="1:6" ht="15" customHeight="1" x14ac:dyDescent="0.3">
      <c r="A40" s="15" t="s">
        <v>84</v>
      </c>
      <c r="B40" s="6" t="s">
        <v>85</v>
      </c>
      <c r="C40" s="6"/>
      <c r="D40" s="6"/>
      <c r="E40" s="6"/>
      <c r="F40" s="6"/>
    </row>
    <row r="41" spans="1:6" x14ac:dyDescent="0.3">
      <c r="A41" s="18" t="s">
        <v>86</v>
      </c>
      <c r="B41" s="16" t="s">
        <v>87</v>
      </c>
      <c r="C41" s="27">
        <f>C21+C22*2+C23</f>
        <v>7</v>
      </c>
      <c r="D41" s="18" t="s">
        <v>88</v>
      </c>
      <c r="E41" s="28">
        <f>C26</f>
        <v>10000</v>
      </c>
      <c r="F41" s="28">
        <f>C41*E41</f>
        <v>70000</v>
      </c>
    </row>
    <row r="42" spans="1:6" x14ac:dyDescent="0.3">
      <c r="A42" s="18" t="s">
        <v>89</v>
      </c>
      <c r="B42" s="16" t="s">
        <v>90</v>
      </c>
      <c r="C42" s="27">
        <f>C20*C21</f>
        <v>10</v>
      </c>
      <c r="D42" s="18" t="s">
        <v>91</v>
      </c>
      <c r="E42" s="28">
        <f>C25</f>
        <v>6000</v>
      </c>
      <c r="F42" s="28">
        <f>C42*E42</f>
        <v>60000</v>
      </c>
    </row>
    <row r="43" spans="1:6" x14ac:dyDescent="0.3">
      <c r="A43" s="18" t="s">
        <v>92</v>
      </c>
      <c r="B43" s="16" t="s">
        <v>93</v>
      </c>
      <c r="C43" s="27">
        <f>C19*C18*C21</f>
        <v>40</v>
      </c>
      <c r="D43" s="18" t="s">
        <v>91</v>
      </c>
      <c r="E43" s="28">
        <f>C24</f>
        <v>4500</v>
      </c>
      <c r="F43" s="28">
        <f>C43*E43</f>
        <v>180000</v>
      </c>
    </row>
    <row r="44" spans="1:6" x14ac:dyDescent="0.3">
      <c r="A44" s="18" t="s">
        <v>94</v>
      </c>
      <c r="B44" s="16" t="s">
        <v>95</v>
      </c>
      <c r="C44" s="27">
        <f>C19*2</f>
        <v>8</v>
      </c>
      <c r="D44" s="18" t="s">
        <v>91</v>
      </c>
      <c r="E44" s="28">
        <f>C24</f>
        <v>4500</v>
      </c>
      <c r="F44" s="28">
        <f>C44*E44</f>
        <v>36000</v>
      </c>
    </row>
    <row r="45" spans="1:6" x14ac:dyDescent="0.3">
      <c r="A45" s="18" t="s">
        <v>96</v>
      </c>
      <c r="B45" s="16" t="s">
        <v>97</v>
      </c>
      <c r="C45" s="27">
        <f>C22*(C19*C18+C20+1)</f>
        <v>0</v>
      </c>
      <c r="D45" s="18" t="s">
        <v>98</v>
      </c>
      <c r="E45" s="28">
        <f>C27</f>
        <v>3000</v>
      </c>
      <c r="F45" s="28">
        <f>C45*E45</f>
        <v>0</v>
      </c>
    </row>
    <row r="46" spans="1:6" x14ac:dyDescent="0.3">
      <c r="A46" s="29"/>
      <c r="B46" s="5" t="s">
        <v>99</v>
      </c>
      <c r="C46" s="5"/>
      <c r="D46" s="5"/>
      <c r="E46" s="5"/>
      <c r="F46" s="30">
        <f>SUM(F41:F45)</f>
        <v>346000</v>
      </c>
    </row>
    <row r="47" spans="1:6" x14ac:dyDescent="0.3">
      <c r="A47" s="31"/>
      <c r="B47" s="4" t="s">
        <v>100</v>
      </c>
      <c r="C47" s="4"/>
      <c r="D47" s="4"/>
      <c r="E47" s="32">
        <f>C31</f>
        <v>0.3</v>
      </c>
      <c r="F47" s="28">
        <f>F46*E47</f>
        <v>103800</v>
      </c>
    </row>
    <row r="48" spans="1:6" x14ac:dyDescent="0.3">
      <c r="A48" s="29"/>
      <c r="B48" s="5" t="s">
        <v>101</v>
      </c>
      <c r="C48" s="5"/>
      <c r="D48" s="5"/>
      <c r="E48" s="5"/>
      <c r="F48" s="30">
        <f>F46+F47</f>
        <v>449800</v>
      </c>
    </row>
    <row r="49" spans="1:6" ht="15" customHeight="1" x14ac:dyDescent="0.3">
      <c r="A49" s="15" t="s">
        <v>102</v>
      </c>
      <c r="B49" s="6" t="s">
        <v>103</v>
      </c>
      <c r="C49" s="6"/>
      <c r="D49" s="6"/>
      <c r="E49" s="6"/>
      <c r="F49" s="6"/>
    </row>
    <row r="50" spans="1:6" x14ac:dyDescent="0.3">
      <c r="A50" s="18" t="s">
        <v>104</v>
      </c>
      <c r="B50" s="16" t="s">
        <v>105</v>
      </c>
      <c r="C50" s="27">
        <f>C19*C18+C20+1</f>
        <v>11</v>
      </c>
      <c r="D50" s="18" t="s">
        <v>36</v>
      </c>
      <c r="E50" s="28">
        <f>C30</f>
        <v>25000</v>
      </c>
      <c r="F50" s="28">
        <f>C50*E50</f>
        <v>275000</v>
      </c>
    </row>
    <row r="51" spans="1:6" x14ac:dyDescent="0.3">
      <c r="A51" s="18" t="s">
        <v>106</v>
      </c>
      <c r="B51" s="16" t="s">
        <v>107</v>
      </c>
      <c r="C51" s="27">
        <v>1</v>
      </c>
      <c r="D51" s="18" t="s">
        <v>108</v>
      </c>
      <c r="E51" s="28">
        <v>50000</v>
      </c>
      <c r="F51" s="28">
        <f>C51*E51</f>
        <v>50000</v>
      </c>
    </row>
    <row r="52" spans="1:6" ht="26.4" x14ac:dyDescent="0.3">
      <c r="A52" s="18" t="s">
        <v>109</v>
      </c>
      <c r="B52" s="16" t="s">
        <v>110</v>
      </c>
      <c r="C52" s="27">
        <v>1</v>
      </c>
      <c r="D52" s="18" t="s">
        <v>108</v>
      </c>
      <c r="E52" s="28">
        <v>60000</v>
      </c>
      <c r="F52" s="28">
        <f>C52*E52</f>
        <v>60000</v>
      </c>
    </row>
    <row r="53" spans="1:6" x14ac:dyDescent="0.3">
      <c r="A53" s="18" t="s">
        <v>111</v>
      </c>
      <c r="B53" s="16" t="s">
        <v>112</v>
      </c>
      <c r="C53" s="27">
        <v>1</v>
      </c>
      <c r="D53" s="18" t="s">
        <v>108</v>
      </c>
      <c r="E53" s="28">
        <v>15000</v>
      </c>
      <c r="F53" s="28">
        <f>C53*E53</f>
        <v>15000</v>
      </c>
    </row>
    <row r="54" spans="1:6" x14ac:dyDescent="0.3">
      <c r="A54" s="18" t="s">
        <v>113</v>
      </c>
      <c r="B54" s="16" t="s">
        <v>114</v>
      </c>
      <c r="C54" s="27">
        <f>C20+1</f>
        <v>3</v>
      </c>
      <c r="D54" s="18" t="s">
        <v>115</v>
      </c>
      <c r="E54" s="28">
        <f>3000</f>
        <v>3000</v>
      </c>
      <c r="F54" s="28">
        <f>C54*E54</f>
        <v>9000</v>
      </c>
    </row>
    <row r="55" spans="1:6" x14ac:dyDescent="0.3">
      <c r="A55" s="29"/>
      <c r="B55" s="5" t="s">
        <v>116</v>
      </c>
      <c r="C55" s="5"/>
      <c r="D55" s="5"/>
      <c r="E55" s="5"/>
      <c r="F55" s="30">
        <f>SUM(F50:F54)</f>
        <v>409000</v>
      </c>
    </row>
    <row r="56" spans="1:6" ht="15" customHeight="1" x14ac:dyDescent="0.3">
      <c r="A56" s="15" t="s">
        <v>117</v>
      </c>
      <c r="B56" s="6" t="s">
        <v>118</v>
      </c>
      <c r="C56" s="6"/>
      <c r="D56" s="6"/>
      <c r="E56" s="6"/>
      <c r="F56" s="6"/>
    </row>
    <row r="57" spans="1:6" x14ac:dyDescent="0.3">
      <c r="A57" s="18" t="s">
        <v>119</v>
      </c>
      <c r="B57" s="16" t="s">
        <v>58</v>
      </c>
      <c r="C57" s="27">
        <f>(C19*C18+C20+1)*(C21+C22*2+C23)</f>
        <v>77</v>
      </c>
      <c r="D57" s="18" t="s">
        <v>98</v>
      </c>
      <c r="E57" s="28">
        <f>C28</f>
        <v>1000</v>
      </c>
      <c r="F57" s="28">
        <f>C57*E57</f>
        <v>77000</v>
      </c>
    </row>
    <row r="58" spans="1:6" x14ac:dyDescent="0.3">
      <c r="A58" s="18" t="s">
        <v>120</v>
      </c>
      <c r="B58" s="16" t="s">
        <v>121</v>
      </c>
      <c r="C58" s="27">
        <f>(C19*C18+C20+1)*C21</f>
        <v>55</v>
      </c>
      <c r="D58" s="18" t="s">
        <v>122</v>
      </c>
      <c r="E58" s="28">
        <f>C29</f>
        <v>1500</v>
      </c>
      <c r="F58" s="28">
        <f>C58*E58</f>
        <v>82500</v>
      </c>
    </row>
    <row r="59" spans="1:6" x14ac:dyDescent="0.3">
      <c r="A59" s="18" t="s">
        <v>123</v>
      </c>
      <c r="B59" s="16" t="s">
        <v>124</v>
      </c>
      <c r="C59" s="27">
        <v>0</v>
      </c>
      <c r="D59" s="18" t="s">
        <v>125</v>
      </c>
      <c r="E59" s="28">
        <v>0</v>
      </c>
      <c r="F59" s="28">
        <f>C59*E59</f>
        <v>0</v>
      </c>
    </row>
    <row r="60" spans="1:6" x14ac:dyDescent="0.3">
      <c r="A60" s="29"/>
      <c r="B60" s="5" t="s">
        <v>126</v>
      </c>
      <c r="C60" s="5"/>
      <c r="D60" s="5"/>
      <c r="E60" s="5"/>
      <c r="F60" s="30">
        <f>SUM(F57:F59)</f>
        <v>159500</v>
      </c>
    </row>
    <row r="61" spans="1:6" ht="15" customHeight="1" x14ac:dyDescent="0.3">
      <c r="A61" s="15" t="s">
        <v>127</v>
      </c>
      <c r="B61" s="6" t="s">
        <v>128</v>
      </c>
      <c r="C61" s="6"/>
      <c r="D61" s="6"/>
      <c r="E61" s="6"/>
      <c r="F61" s="6"/>
    </row>
    <row r="62" spans="1:6" x14ac:dyDescent="0.3">
      <c r="A62" s="18" t="s">
        <v>129</v>
      </c>
      <c r="B62" s="16" t="s">
        <v>130</v>
      </c>
      <c r="C62" s="27">
        <v>1</v>
      </c>
      <c r="D62" s="18" t="s">
        <v>131</v>
      </c>
      <c r="E62" s="28">
        <v>25000</v>
      </c>
      <c r="F62" s="28">
        <f>C62*E62</f>
        <v>25000</v>
      </c>
    </row>
    <row r="63" spans="1:6" x14ac:dyDescent="0.3">
      <c r="A63" s="18" t="s">
        <v>132</v>
      </c>
      <c r="B63" s="16" t="s">
        <v>133</v>
      </c>
      <c r="C63" s="27">
        <v>1</v>
      </c>
      <c r="D63" s="18" t="s">
        <v>131</v>
      </c>
      <c r="E63" s="28">
        <v>10000</v>
      </c>
      <c r="F63" s="28">
        <f>C63*E63</f>
        <v>10000</v>
      </c>
    </row>
    <row r="64" spans="1:6" x14ac:dyDescent="0.3">
      <c r="A64" s="18" t="s">
        <v>134</v>
      </c>
      <c r="B64" s="16" t="s">
        <v>135</v>
      </c>
      <c r="C64" s="27">
        <f>C21</f>
        <v>5</v>
      </c>
      <c r="D64" s="18" t="s">
        <v>44</v>
      </c>
      <c r="E64" s="28">
        <f>1500</f>
        <v>1500</v>
      </c>
      <c r="F64" s="28">
        <f>C64*E64</f>
        <v>7500</v>
      </c>
    </row>
    <row r="65" spans="1:6" x14ac:dyDescent="0.3">
      <c r="A65" s="29"/>
      <c r="B65" s="5" t="s">
        <v>136</v>
      </c>
      <c r="C65" s="5"/>
      <c r="D65" s="5"/>
      <c r="E65" s="5"/>
      <c r="F65" s="30">
        <f>SUM(F62:F64)</f>
        <v>42500</v>
      </c>
    </row>
    <row r="66" spans="1:6" ht="15" customHeight="1" x14ac:dyDescent="0.3">
      <c r="A66" s="15" t="s">
        <v>137</v>
      </c>
      <c r="B66" s="6" t="s">
        <v>138</v>
      </c>
      <c r="C66" s="6"/>
      <c r="D66" s="6"/>
      <c r="E66" s="6"/>
      <c r="F66" s="6"/>
    </row>
    <row r="67" spans="1:6" ht="26.4" x14ac:dyDescent="0.3">
      <c r="A67" s="18" t="s">
        <v>139</v>
      </c>
      <c r="B67" s="16" t="s">
        <v>140</v>
      </c>
      <c r="C67" s="27">
        <f>C12</f>
        <v>20000</v>
      </c>
      <c r="D67" s="18" t="s">
        <v>18</v>
      </c>
      <c r="E67" s="28">
        <f>C13</f>
        <v>95</v>
      </c>
      <c r="F67" s="28">
        <f>C67*E67</f>
        <v>1900000</v>
      </c>
    </row>
    <row r="68" spans="1:6" x14ac:dyDescent="0.3">
      <c r="A68" s="18" t="s">
        <v>141</v>
      </c>
      <c r="B68" s="16" t="s">
        <v>142</v>
      </c>
      <c r="C68" s="27">
        <f>C14*C15</f>
        <v>400</v>
      </c>
      <c r="D68" s="18" t="s">
        <v>18</v>
      </c>
      <c r="E68" s="28">
        <f>C16</f>
        <v>156</v>
      </c>
      <c r="F68" s="28">
        <f>C68*E68</f>
        <v>62400</v>
      </c>
    </row>
    <row r="69" spans="1:6" x14ac:dyDescent="0.3">
      <c r="A69" s="18" t="s">
        <v>143</v>
      </c>
      <c r="B69" s="16" t="s">
        <v>144</v>
      </c>
      <c r="C69" s="27">
        <f>C12</f>
        <v>20000</v>
      </c>
      <c r="D69" s="18" t="s">
        <v>18</v>
      </c>
      <c r="E69" s="33">
        <f>C17</f>
        <v>6.5</v>
      </c>
      <c r="F69" s="28">
        <f>C69*E69</f>
        <v>130000</v>
      </c>
    </row>
    <row r="70" spans="1:6" ht="26.4" x14ac:dyDescent="0.3">
      <c r="A70" s="18" t="s">
        <v>145</v>
      </c>
      <c r="B70" s="16" t="s">
        <v>146</v>
      </c>
      <c r="C70" s="27">
        <v>1</v>
      </c>
      <c r="D70" s="18" t="s">
        <v>108</v>
      </c>
      <c r="E70" s="28">
        <v>15000</v>
      </c>
      <c r="F70" s="28">
        <f>C70*E70</f>
        <v>15000</v>
      </c>
    </row>
    <row r="71" spans="1:6" x14ac:dyDescent="0.3">
      <c r="A71" s="29"/>
      <c r="B71" s="5" t="s">
        <v>147</v>
      </c>
      <c r="C71" s="5"/>
      <c r="D71" s="5"/>
      <c r="E71" s="5"/>
      <c r="F71" s="30">
        <f>SUM(F67:F70)</f>
        <v>2107400</v>
      </c>
    </row>
    <row r="72" spans="1:6" x14ac:dyDescent="0.3">
      <c r="A72" s="29"/>
      <c r="B72" s="5" t="s">
        <v>148</v>
      </c>
      <c r="C72" s="5"/>
      <c r="D72" s="5"/>
      <c r="E72" s="5"/>
      <c r="F72" s="30">
        <f>F48+F55+F60+F65+F71</f>
        <v>3168200</v>
      </c>
    </row>
    <row r="73" spans="1:6" ht="15" customHeight="1" x14ac:dyDescent="0.3">
      <c r="A73" s="18" t="s">
        <v>149</v>
      </c>
      <c r="B73" s="8" t="s">
        <v>68</v>
      </c>
      <c r="C73" s="8"/>
      <c r="D73" s="8"/>
      <c r="E73" s="32">
        <f>C32</f>
        <v>0.1</v>
      </c>
      <c r="F73" s="28">
        <f>F72*E73</f>
        <v>316820</v>
      </c>
    </row>
    <row r="74" spans="1:6" ht="15" customHeight="1" x14ac:dyDescent="0.3">
      <c r="A74" s="18" t="s">
        <v>150</v>
      </c>
      <c r="B74" s="8" t="s">
        <v>70</v>
      </c>
      <c r="C74" s="8"/>
      <c r="D74" s="8"/>
      <c r="E74" s="32">
        <f>C33</f>
        <v>0.12</v>
      </c>
      <c r="F74" s="28">
        <f>F72*E74</f>
        <v>380184</v>
      </c>
    </row>
    <row r="75" spans="1:6" x14ac:dyDescent="0.3">
      <c r="A75" s="34"/>
      <c r="B75" s="3" t="s">
        <v>151</v>
      </c>
      <c r="C75" s="3"/>
      <c r="D75" s="3"/>
      <c r="E75" s="3"/>
      <c r="F75" s="35">
        <f>F72+F73+F74</f>
        <v>3865204</v>
      </c>
    </row>
    <row r="77" spans="1:6" x14ac:dyDescent="0.3">
      <c r="A77" s="10" t="s">
        <v>152</v>
      </c>
      <c r="B77" s="10"/>
      <c r="C77" s="10"/>
      <c r="D77" s="10"/>
      <c r="E77" s="10"/>
      <c r="F77" s="10"/>
    </row>
    <row r="78" spans="1:6" x14ac:dyDescent="0.3">
      <c r="A78" s="31"/>
      <c r="B78" s="2" t="s">
        <v>153</v>
      </c>
      <c r="C78" s="2"/>
      <c r="D78" s="2"/>
      <c r="E78" s="2"/>
      <c r="F78" s="28">
        <f>F75</f>
        <v>3865204</v>
      </c>
    </row>
    <row r="79" spans="1:6" x14ac:dyDescent="0.3">
      <c r="A79" s="31"/>
      <c r="B79" s="2" t="s">
        <v>154</v>
      </c>
      <c r="C79" s="2"/>
      <c r="D79" s="2"/>
      <c r="E79" s="2"/>
      <c r="F79" s="36">
        <f>C34</f>
        <v>2.2000000000000002</v>
      </c>
    </row>
    <row r="80" spans="1:6" x14ac:dyDescent="0.3">
      <c r="A80" s="31"/>
      <c r="B80" s="2" t="s">
        <v>155</v>
      </c>
      <c r="C80" s="2"/>
      <c r="D80" s="2"/>
      <c r="E80" s="2"/>
      <c r="F80" s="28">
        <f>F78*F79</f>
        <v>8503448.8000000007</v>
      </c>
    </row>
    <row r="81" spans="1:6" x14ac:dyDescent="0.3">
      <c r="A81" s="31"/>
      <c r="B81" s="2" t="s">
        <v>156</v>
      </c>
      <c r="C81" s="2"/>
      <c r="D81" s="2"/>
      <c r="E81" s="2"/>
      <c r="F81" s="28">
        <f>F80*C36</f>
        <v>1870758.7360000003</v>
      </c>
    </row>
    <row r="82" spans="1:6" x14ac:dyDescent="0.3">
      <c r="A82" s="37"/>
      <c r="B82" s="1" t="s">
        <v>157</v>
      </c>
      <c r="C82" s="1"/>
      <c r="D82" s="1"/>
      <c r="E82" s="1"/>
      <c r="F82" s="38">
        <f>F80+F81</f>
        <v>10374207.536</v>
      </c>
    </row>
    <row r="83" spans="1:6" x14ac:dyDescent="0.3">
      <c r="A83" s="31"/>
      <c r="B83" s="2" t="s">
        <v>158</v>
      </c>
      <c r="C83" s="2"/>
      <c r="D83" s="2"/>
      <c r="E83" s="2"/>
      <c r="F83" s="28">
        <f>F80-F78</f>
        <v>4638244.8000000007</v>
      </c>
    </row>
    <row r="85" spans="1:6" x14ac:dyDescent="0.3">
      <c r="A85" s="10" t="s">
        <v>159</v>
      </c>
      <c r="B85" s="10"/>
      <c r="C85" s="10"/>
      <c r="D85" s="10"/>
      <c r="E85" s="10"/>
      <c r="F85" s="10"/>
    </row>
    <row r="86" spans="1:6" ht="15" customHeight="1" x14ac:dyDescent="0.3">
      <c r="A86" s="8" t="s">
        <v>160</v>
      </c>
      <c r="B86" s="8"/>
      <c r="C86" s="8"/>
      <c r="D86" s="8"/>
      <c r="E86" s="8"/>
      <c r="F86" s="28">
        <f>F75*2*(1+C36)</f>
        <v>9431097.7599999998</v>
      </c>
    </row>
    <row r="87" spans="1:6" ht="15" customHeight="1" x14ac:dyDescent="0.3">
      <c r="A87" s="8" t="s">
        <v>161</v>
      </c>
      <c r="B87" s="8"/>
      <c r="C87" s="8"/>
      <c r="D87" s="8"/>
      <c r="E87" s="8"/>
      <c r="F87" s="28">
        <f>F75*C34*(1+C36)</f>
        <v>10374207.536</v>
      </c>
    </row>
    <row r="88" spans="1:6" ht="15" customHeight="1" x14ac:dyDescent="0.3">
      <c r="A88" s="8" t="s">
        <v>162</v>
      </c>
      <c r="B88" s="8"/>
      <c r="C88" s="8"/>
      <c r="D88" s="8"/>
      <c r="E88" s="8"/>
      <c r="F88" s="28">
        <f>F75*2.3*(1+C36)</f>
        <v>10845762.423999999</v>
      </c>
    </row>
    <row r="89" spans="1:6" ht="15" customHeight="1" x14ac:dyDescent="0.3">
      <c r="A89" s="40" t="s">
        <v>163</v>
      </c>
      <c r="B89" s="40"/>
      <c r="C89" s="40"/>
      <c r="D89" s="40"/>
      <c r="E89" s="40"/>
      <c r="F89" s="39">
        <f>(F71*(1+C32+C33)*C35+(F72-F71)*(1+C32+C33)*C34)*(1+C36)</f>
        <v>7394386.0840000017</v>
      </c>
    </row>
    <row r="91" spans="1:6" x14ac:dyDescent="0.3">
      <c r="A91" s="10" t="s">
        <v>164</v>
      </c>
      <c r="B91" s="10"/>
      <c r="C91" s="10"/>
      <c r="D91" s="10"/>
      <c r="E91" s="10"/>
      <c r="F91" s="10"/>
    </row>
    <row r="92" spans="1:6" ht="25.5" customHeight="1" x14ac:dyDescent="0.3">
      <c r="A92" s="41" t="s">
        <v>165</v>
      </c>
      <c r="B92" s="41"/>
      <c r="C92" s="41"/>
      <c r="D92" s="41"/>
      <c r="E92" s="41"/>
      <c r="F92" s="41"/>
    </row>
    <row r="93" spans="1:6" ht="25.5" customHeight="1" x14ac:dyDescent="0.3">
      <c r="A93" s="41" t="s">
        <v>166</v>
      </c>
      <c r="B93" s="41"/>
      <c r="C93" s="41"/>
      <c r="D93" s="41"/>
      <c r="E93" s="41"/>
      <c r="F93" s="41"/>
    </row>
    <row r="94" spans="1:6" ht="25.5" customHeight="1" x14ac:dyDescent="0.3">
      <c r="A94" s="41" t="s">
        <v>167</v>
      </c>
      <c r="B94" s="41"/>
      <c r="C94" s="41"/>
      <c r="D94" s="41"/>
      <c r="E94" s="41"/>
      <c r="F94" s="41"/>
    </row>
    <row r="95" spans="1:6" ht="25.5" customHeight="1" x14ac:dyDescent="0.3">
      <c r="A95" s="41" t="s">
        <v>168</v>
      </c>
      <c r="B95" s="41"/>
      <c r="C95" s="41"/>
      <c r="D95" s="41"/>
      <c r="E95" s="41"/>
      <c r="F95" s="41"/>
    </row>
    <row r="96" spans="1:6" ht="25.5" customHeight="1" x14ac:dyDescent="0.3">
      <c r="A96" s="41" t="s">
        <v>169</v>
      </c>
      <c r="B96" s="41"/>
      <c r="C96" s="41"/>
      <c r="D96" s="41"/>
      <c r="E96" s="41"/>
      <c r="F96" s="41"/>
    </row>
    <row r="97" spans="1:6" ht="25.5" customHeight="1" x14ac:dyDescent="0.3">
      <c r="A97" s="41" t="s">
        <v>170</v>
      </c>
      <c r="B97" s="41"/>
      <c r="C97" s="41"/>
      <c r="D97" s="41"/>
      <c r="E97" s="41"/>
      <c r="F97" s="41"/>
    </row>
    <row r="98" spans="1:6" ht="25.5" customHeight="1" x14ac:dyDescent="0.3">
      <c r="A98" s="41" t="s">
        <v>171</v>
      </c>
      <c r="B98" s="41"/>
      <c r="C98" s="41"/>
      <c r="D98" s="41"/>
      <c r="E98" s="41"/>
      <c r="F98" s="41"/>
    </row>
    <row r="99" spans="1:6" ht="25.5" customHeight="1" x14ac:dyDescent="0.3">
      <c r="A99" s="41" t="s">
        <v>172</v>
      </c>
      <c r="B99" s="41"/>
      <c r="C99" s="41"/>
      <c r="D99" s="41"/>
      <c r="E99" s="41"/>
      <c r="F99" s="41"/>
    </row>
  </sheetData>
  <mergeCells count="103">
    <mergeCell ref="A92:F92"/>
    <mergeCell ref="A93:F93"/>
    <mergeCell ref="A94:F94"/>
    <mergeCell ref="A95:F95"/>
    <mergeCell ref="A96:F96"/>
    <mergeCell ref="A97:F97"/>
    <mergeCell ref="A98:F98"/>
    <mergeCell ref="A99:F99"/>
    <mergeCell ref="B81:E81"/>
    <mergeCell ref="B82:E82"/>
    <mergeCell ref="B83:E83"/>
    <mergeCell ref="A85:F85"/>
    <mergeCell ref="A86:E86"/>
    <mergeCell ref="A87:E87"/>
    <mergeCell ref="A88:E88"/>
    <mergeCell ref="A89:E89"/>
    <mergeCell ref="A91:F91"/>
    <mergeCell ref="B71:E71"/>
    <mergeCell ref="B72:E72"/>
    <mergeCell ref="B73:D73"/>
    <mergeCell ref="B74:D74"/>
    <mergeCell ref="B75:E75"/>
    <mergeCell ref="A77:F77"/>
    <mergeCell ref="B78:E78"/>
    <mergeCell ref="B79:E79"/>
    <mergeCell ref="B80:E80"/>
    <mergeCell ref="B47:D47"/>
    <mergeCell ref="B48:E48"/>
    <mergeCell ref="B49:F49"/>
    <mergeCell ref="B55:E55"/>
    <mergeCell ref="B56:F56"/>
    <mergeCell ref="B60:E60"/>
    <mergeCell ref="B61:F61"/>
    <mergeCell ref="B65:E65"/>
    <mergeCell ref="B66:F66"/>
    <mergeCell ref="A34:B34"/>
    <mergeCell ref="E34:F34"/>
    <mergeCell ref="A35:B35"/>
    <mergeCell ref="E35:F35"/>
    <mergeCell ref="A36:B36"/>
    <mergeCell ref="E36:F36"/>
    <mergeCell ref="A38:F38"/>
    <mergeCell ref="B40:F40"/>
    <mergeCell ref="B46:E46"/>
    <mergeCell ref="A29:B29"/>
    <mergeCell ref="E29:F29"/>
    <mergeCell ref="A30:B30"/>
    <mergeCell ref="E30:F30"/>
    <mergeCell ref="A31:B31"/>
    <mergeCell ref="E31:F31"/>
    <mergeCell ref="A32:B32"/>
    <mergeCell ref="E32:F32"/>
    <mergeCell ref="A33:B33"/>
    <mergeCell ref="E33:F33"/>
    <mergeCell ref="A24:B24"/>
    <mergeCell ref="E24:F24"/>
    <mergeCell ref="A25:B25"/>
    <mergeCell ref="E25:F25"/>
    <mergeCell ref="A26:B26"/>
    <mergeCell ref="E26:F26"/>
    <mergeCell ref="A27:B27"/>
    <mergeCell ref="E27:F27"/>
    <mergeCell ref="A28:B28"/>
    <mergeCell ref="E28:F28"/>
    <mergeCell ref="A19:B19"/>
    <mergeCell ref="E19:F19"/>
    <mergeCell ref="A20:B20"/>
    <mergeCell ref="E20:F20"/>
    <mergeCell ref="A21:B21"/>
    <mergeCell ref="E21:F21"/>
    <mergeCell ref="A22:B22"/>
    <mergeCell ref="E22:F22"/>
    <mergeCell ref="A23:B23"/>
    <mergeCell ref="E23:F23"/>
    <mergeCell ref="A14:B14"/>
    <mergeCell ref="E14:F14"/>
    <mergeCell ref="A15:B15"/>
    <mergeCell ref="E15:F15"/>
    <mergeCell ref="A16:B16"/>
    <mergeCell ref="E16:F16"/>
    <mergeCell ref="A17:B17"/>
    <mergeCell ref="E17:F17"/>
    <mergeCell ref="A18:B18"/>
    <mergeCell ref="E18:F18"/>
    <mergeCell ref="A8:B8"/>
    <mergeCell ref="C8:F8"/>
    <mergeCell ref="A10:F10"/>
    <mergeCell ref="A11:B11"/>
    <mergeCell ref="E11:F11"/>
    <mergeCell ref="A12:B12"/>
    <mergeCell ref="E12:F12"/>
    <mergeCell ref="A13:B13"/>
    <mergeCell ref="E13:F13"/>
    <mergeCell ref="A1:F1"/>
    <mergeCell ref="A2:F2"/>
    <mergeCell ref="A4:B4"/>
    <mergeCell ref="C4:F4"/>
    <mergeCell ref="A5:B5"/>
    <mergeCell ref="C5:F5"/>
    <mergeCell ref="A6:B6"/>
    <mergeCell ref="C6:F6"/>
    <mergeCell ref="A7:B7"/>
    <mergeCell ref="C7:F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Смета (себестоимость)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Nikita-ASGARD</cp:lastModifiedBy>
  <cp:revision>0</cp:revision>
  <dcterms:created xsi:type="dcterms:W3CDTF">2026-06-18T21:17:06Z</dcterms:created>
  <dcterms:modified xsi:type="dcterms:W3CDTF">2026-06-19T02:27:52Z</dcterms:modified>
  <dc:language>en-US</dc:language>
</cp:coreProperties>
</file>